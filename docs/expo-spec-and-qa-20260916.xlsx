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_概要" state="visible" r:id="rId4"/>
    <sheet sheetId="2" name="2_検証項目" state="visible" r:id="rId5"/>
    <sheet sheetId="3" name="3_不具合・課題" state="visible" r:id="rId6"/>
    <sheet sheetId="4" name="4_数値の突き合わせ" state="visible" r:id="rId7"/>
    <sheet sheetId="5" name="5_未検証" state="visible" r:id="rId8"/>
  </sheets>
  <calcPr calcId="171027"/>
</workbook>
</file>

<file path=xl/sharedStrings.xml><?xml version="1.0" encoding="utf-8"?>
<sst xmlns="http://schemas.openxmlformats.org/spreadsheetml/2006/main" count="570" uniqueCount="432">
  <si>
    <t>農作業レポート（Expo版・タブ5個）動作確認と仕様の記録</t>
  </si>
  <si>
    <t>実施日</t>
  </si>
  <si>
    <t>2026-09-16</t>
  </si>
  <si>
    <t>対象</t>
  </si>
  <si>
    <t>expo-prototype（iOS）／ボトムナビ5タブ：ホーム・記録・相談・分析・管理</t>
  </si>
  <si>
    <t>実行環境</t>
  </si>
  <si>
    <t>iPhone 17 Pro Max シミュレータ（iOS 26.5）・Debug ビルド・Metro から最新JSを読み込み</t>
  </si>
  <si>
    <t>コード基準</t>
  </si>
  <si>
    <t>main ブランチ 0b57cbd 時点（AI利用ログの entry_point 対応済み）</t>
  </si>
  <si>
    <t>データ</t>
  </si>
  <si>
    <t>本番データ（Expo版にデモモードは無い）。組織 kishu の管理者アカウントで実施</t>
  </si>
  <si>
    <t>書き込み</t>
  </si>
  <si>
    <t>テスト記録を1件作成し、確認後に削除済み（id 59）。ほかの記録・マスタは変更していない</t>
  </si>
  <si>
    <t>AI呼び出し</t>
  </si>
  <si>
    <t>3回（日報1・相談1・散布時期1）。ai_outputs に検証用の行が3件増えている</t>
  </si>
  <si>
    <t>検証用の行の扱い</t>
  </si>
  <si>
    <t>撤退条件（n≧30）を数えるときは、2026-09-15〜16 に作られた ai_outputs の3行を除く</t>
  </si>
  <si>
    <t>確認方法</t>
  </si>
  <si>
    <t>画面操作＋アプリのログイン中セッションでのDB読み返し（読み取りのみ・RLS有効）</t>
  </si>
  <si>
    <t>未実施の理由</t>
  </si>
  <si>
    <t>写真診断の実行・記録に聞く・音声整理などは 5_未検証 に理由付きで記載</t>
  </si>
  <si>
    <t>集計</t>
  </si>
  <si>
    <t>検証した項目</t>
  </si>
  <si>
    <t>うち期待どおり（OK）</t>
  </si>
  <si>
    <t>うちOKだが関連する課題あり</t>
  </si>
  <si>
    <t>不具合・課題</t>
  </si>
  <si>
    <t>うち重大度：高</t>
  </si>
  <si>
    <t>うち重大度：中</t>
  </si>
  <si>
    <t>うち重大度：低</t>
  </si>
  <si>
    <t>数値の不一致</t>
  </si>
  <si>
    <t>未検証の項目</t>
  </si>
  <si>
    <t>リリース判定の3問（docs/decisions/20260912-release-line.md）</t>
  </si>
  <si>
    <t>① 直さないと審査で落ちるか</t>
  </si>
  <si>
    <t>② 直さないと必達3タスク（畑を1つ登録／作業を1件記録／農薬を撒いたことを記録）が説明ゼロで完了しないか</t>
  </si>
  <si>
    <t>③ 直さないと法令記録が欠ける／画面とAIの数字が食い違うか</t>
  </si>
  <si>
    <t>→ ③に当たるのは D-01（日付のずれ）・D-02（表示されない行）・D-03（防除回数）・D-05（収穫量）。ほかは出してから直す枠</t>
  </si>
  <si>
    <t>修正の状況（2026-09-16）</t>
  </si>
  <si>
    <t>審査に効くもの：コメントの削除（1.2）、アカウント削除の導線（5.1.1(v) の受け皿）を実装し、シミュレータで確認した</t>
  </si>
  <si>
    <t>数字と記録の正しさ：日付のずれ（D-01）、防除回数（D-03）、収穫数量（D-05）を修正して確認した</t>
  </si>
  <si>
    <t>文言と不親切：AIの語を入口から外す・問いかけ形・通知の説明・ガントの注記・未報告の期間を修正した</t>
  </si>
  <si>
    <t>未対応：D-02（同一組織IDに2農場が同居。方針決定待ち）、D-04の語彙統一、D-06 記録の編集、D-13 半角カナ、D-14</t>
  </si>
  <si>
    <t>コミットは未実施。git が Xcode のライセンス未同意で動かないため（sudo xcodebuild -license が必要）</t>
  </si>
  <si>
    <t>ID</t>
  </si>
  <si>
    <t>画面</t>
  </si>
  <si>
    <t>項目</t>
  </si>
  <si>
    <t>期待する動作</t>
  </si>
  <si>
    <t>実測</t>
  </si>
  <si>
    <t>結果</t>
  </si>
  <si>
    <t>根拠・備考</t>
  </si>
  <si>
    <t>V-01</t>
  </si>
  <si>
    <t>起動・認証</t>
  </si>
  <si>
    <t>アプリ再起動</t>
  </si>
  <si>
    <t>前回のログイン状態が保持され、ホームが表示される</t>
  </si>
  <si>
    <t>保持されホーム表示</t>
  </si>
  <si>
    <t>OK</t>
  </si>
  <si>
    <t>シミュレータで再起動して確認</t>
  </si>
  <si>
    <t>V-02</t>
  </si>
  <si>
    <t>ホーム</t>
  </si>
  <si>
    <t>今日の一手</t>
  </si>
  <si>
    <t>最終散布日からの経過日数を表示</t>
  </si>
  <si>
    <t>「前回の散布から11日」（最終散布 2026-09-05 → 9/16 で11日）</t>
  </si>
  <si>
    <t>DB実測と一致</t>
  </si>
  <si>
    <t>V-03</t>
  </si>
  <si>
    <t>直近7日の作業</t>
  </si>
  <si>
    <t>当日から7日前以降の記録件数</t>
  </si>
  <si>
    <t>0件（最新記録が9/05のため）</t>
  </si>
  <si>
    <t>V-04</t>
  </si>
  <si>
    <t>今週の収穫</t>
  </si>
  <si>
    <t>週開始（日曜）以降の数量合計</t>
  </si>
  <si>
    <t>「記録なし」（週開始9/13以降に数量付き記録なし）</t>
  </si>
  <si>
    <t>V-05</t>
  </si>
  <si>
    <t>天気の自動取得</t>
  </si>
  <si>
    <t>農場所在地の現在天気を表示</t>
  </si>
  <si>
    <t>20℃・一部曇り・湿度95%・降水6.6mm</t>
  </si>
  <si>
    <t>画面表示</t>
  </si>
  <si>
    <t>V-06</t>
  </si>
  <si>
    <t>作業タイマー</t>
  </si>
  <si>
    <t>開始で経過時間を計り、終了で記録フォームに時刻が入る</t>
  </si>
  <si>
    <t>00:00:11 を計時。終了で12:24〜12:24が入った</t>
  </si>
  <si>
    <t>DBには書かず端末内のみ（store.tsx:800）</t>
  </si>
  <si>
    <t>V-07</t>
  </si>
  <si>
    <t>記録</t>
  </si>
  <si>
    <t>記録の作成</t>
  </si>
  <si>
    <t>入力内容と自動取得の天気がDBに保存され、各画面に反映</t>
  </si>
  <si>
    <t>id59で保存。日付2026-09-16・天気 霧雨21.9℃。一覧33件・カレンダー16日・ホーム件数に反映</t>
  </si>
  <si>
    <t>DB読み返しで確認</t>
  </si>
  <si>
    <t>V-08</t>
  </si>
  <si>
    <t>記録の削除</t>
  </si>
  <si>
    <t>確認ダイアログの後に削除され、一覧から消える</t>
  </si>
  <si>
    <t>確認後に削除。一覧32件に戻る</t>
  </si>
  <si>
    <t>DB読み返しで確認（テスト記録は削除済み）</t>
  </si>
  <si>
    <t>V-09</t>
  </si>
  <si>
    <t>カレンダーの月／週表示</t>
  </si>
  <si>
    <t>切替・今日の強調・前後移動</t>
  </si>
  <si>
    <t>月表示と週表示を切替。9/16を強調表示</t>
  </si>
  <si>
    <t>V-10</t>
  </si>
  <si>
    <t>カレンダーの絞り込み</t>
  </si>
  <si>
    <t>「報告済み」で予定のバッジが消える</t>
  </si>
  <si>
    <t>13日の予定バッジが消えた</t>
  </si>
  <si>
    <t>V-11</t>
  </si>
  <si>
    <t>一覧の作業フィルタ</t>
  </si>
  <si>
    <t>選んだ作業だけに絞られる</t>
  </si>
  <si>
    <t>「防除」で2件に絞られた</t>
  </si>
  <si>
    <t>OK（関連課題あり）</t>
  </si>
  <si>
    <t>DBの防除は4件。うち2件は非表示行（D-02）。選択肢に農薬散布が無い（D-04）</t>
  </si>
  <si>
    <t>V-12</t>
  </si>
  <si>
    <t>記録詳細シート</t>
  </si>
  <si>
    <t>作業・圃場・日付・担当・作物・時刻・天気・メモ・コメント欄を表示</t>
  </si>
  <si>
    <t>すべて表示。コメント欄あり</t>
  </si>
  <si>
    <t>V-13</t>
  </si>
  <si>
    <t>相談</t>
  </si>
  <si>
    <t>相談の送信</t>
  </si>
  <si>
    <t>質問と回答が保存され、AI利用ログが残る</t>
  </si>
  <si>
    <t>会話2件が保存（crop_id=null＝畑全体）。ai_outputs に advice / thread</t>
  </si>
  <si>
    <t>V-14</t>
  </si>
  <si>
    <t>分析</t>
  </si>
  <si>
    <t>収穫量のKPI</t>
  </si>
  <si>
    <t>年内の収穫量と前年同時期比</t>
  </si>
  <si>
    <t>458kg・前年同時期比 -7%（2025年は490kg）</t>
  </si>
  <si>
    <t>DB再計算と一致</t>
  </si>
  <si>
    <t>V-15</t>
  </si>
  <si>
    <t>総作業時間のKPI</t>
  </si>
  <si>
    <t>開始終了時刻（無ければ手入力）からの合計</t>
  </si>
  <si>
    <t>88.1h・前年同時期比 +199%（2025年は29.5h）</t>
  </si>
  <si>
    <t>V-16</t>
  </si>
  <si>
    <t>除外の注記</t>
  </si>
  <si>
    <t>kg以外の単位の収穫記録を除外した旨を表示</t>
  </si>
  <si>
    <t>「単位がkg以外の収穫記録1件を収穫量から除外しています」</t>
  </si>
  <si>
    <t>DB実測（該当1件）と一致</t>
  </si>
  <si>
    <t>V-17</t>
  </si>
  <si>
    <t>計画（ガント）</t>
  </si>
  <si>
    <t>計画の一覧と当日の縦線を表示</t>
  </si>
  <si>
    <t>3件表示。追加・編集はWeb版という注記あり</t>
  </si>
  <si>
    <t>期間外のためバーが出ない（D-09）</t>
  </si>
  <si>
    <t>V-18</t>
  </si>
  <si>
    <t>管理</t>
  </si>
  <si>
    <t>作物一覧</t>
  </si>
  <si>
    <t>登録作物・作付けからの日数・FAMIC作物名の紐付け</t>
  </si>
  <si>
    <t>5件表示。紐付けは2件（ぶどう・キャベツ）のみ</t>
  </si>
  <si>
    <t>DB（kishu分）と一致</t>
  </si>
  <si>
    <t>V-19</t>
  </si>
  <si>
    <t>圃場一覧</t>
  </si>
  <si>
    <t>圃場と作付け履歴（作物・最終作業・回数）</t>
  </si>
  <si>
    <t>C圃場・D圃場を表示。履歴も表示</t>
  </si>
  <si>
    <t>V-20</t>
  </si>
  <si>
    <t>通知</t>
  </si>
  <si>
    <t>通知一覧</t>
  </si>
  <si>
    <t>メンション・コメントの通知を表示</t>
  </si>
  <si>
    <t>メンション1件（8/2）を表示</t>
  </si>
  <si>
    <t>DBのコメントと一致</t>
  </si>
  <si>
    <t>V-21</t>
  </si>
  <si>
    <t>圃場マップ</t>
  </si>
  <si>
    <t>位置未設定のとき</t>
  </si>
  <si>
    <t>農場所在地を中心に表示し、設定方法を案内</t>
  </si>
  <si>
    <t>地図表示＋「位置が設定された圃場がありません」の案内</t>
  </si>
  <si>
    <t>V-22</t>
  </si>
  <si>
    <t>AI</t>
  </si>
  <si>
    <t>散布時期の助言</t>
  </si>
  <si>
    <t>天気と防除実績から日付を提案し、1日1回に制限</t>
  </si>
  <si>
    <t>「9月17日（木）が適しています」＋1日1回の注記</t>
  </si>
  <si>
    <t>ai_outputs に pest_advice / home</t>
  </si>
  <si>
    <t>V-23</t>
  </si>
  <si>
    <t>日報の作成</t>
  </si>
  <si>
    <t>対象日の記録を日報にまとめる</t>
  </si>
  <si>
    <t>2026-09-05の日報を生成</t>
  </si>
  <si>
    <t>ai_outputs に daily_report / record_list</t>
  </si>
  <si>
    <t>V-24</t>
  </si>
  <si>
    <t>利用ログの導線記録</t>
  </si>
  <si>
    <t>どの画面から使ったかを entry_point に残す</t>
  </si>
  <si>
    <t>record_list / thread / home が想定どおり記録された</t>
  </si>
  <si>
    <t>2026-09-15〜16 の3件で確認</t>
  </si>
  <si>
    <t>V-25</t>
  </si>
  <si>
    <t>写真診断の入口</t>
  </si>
  <si>
    <t>注意書きと写真選択の入口を表示</t>
  </si>
  <si>
    <t>「確定診断ではありません」の注意書きを確認</t>
  </si>
  <si>
    <t>入口のみOK</t>
  </si>
  <si>
    <t>推定の実行は未検証（U-01）</t>
  </si>
  <si>
    <t>区分</t>
  </si>
  <si>
    <t>重大度</t>
  </si>
  <si>
    <t>症状</t>
  </si>
  <si>
    <t>詳細</t>
  </si>
  <si>
    <t>原因・該当箇所</t>
  </si>
  <si>
    <t>根拠（実測）</t>
  </si>
  <si>
    <t>リリース3問の判定</t>
  </si>
  <si>
    <t>推奨対応</t>
  </si>
  <si>
    <t>対応状況（2026-09-16）</t>
  </si>
  <si>
    <t>D-01</t>
  </si>
  <si>
    <t>不具合</t>
  </si>
  <si>
    <t>高</t>
  </si>
  <si>
    <t>記録フォーム／日報／作付け／予定</t>
  </si>
  <si>
    <t>日付が1日前になる</t>
  </si>
  <si>
    <t>日付ピッカーで選んだ日が、時刻に関係なく常に1日前で保存される。さらに日本時間0〜9時は「今日」の初期値も前日になる。</t>
  </si>
  <si>
    <t>日付文字列をUTCで作っている（現地0時のDateを toISOString().slice(0,10)）。QuickReportSheet.tsx:569,580／AiSheets.tsx:128,134／ManageScreen.tsx:655／CalendarView.tsx:718。同型の実装はExpoに20箇所以上。Webは src/App.tsx:2763 の「今日」のみ該当（Webの日付選択はずれない）</t>
  </si>
  <si>
    <t>ホイールで13日を選ぶと欄は2026-09-12。0:53に開いた日報の初期値が2026-09-15（端末は9/16）</t>
  </si>
  <si>
    <t>③に該当（散布日など法令記録がずれる）</t>
  </si>
  <si>
    <t>日付を現地時間で文字列化する共通関数に集約し、契約テストで固定する</t>
  </si>
  <si>
    <t>修正済み・実機確認済み。lib/date.ts を新設し、日付の文字列化を現地時間に統一（Expo 27箇所）。シミュレータでホイール13日→2026-09-13 を確認</t>
  </si>
  <si>
    <t>D-02</t>
  </si>
  <si>
    <t>全画面（データ読み込み）</t>
  </si>
  <si>
    <t>DBにあるのにアプリに出ない行がある</t>
  </si>
  <si>
    <t>同じ組織なのに表示されない行が7件ある（記録3・作物2・圃場1・農薬1）。一覧・カレンダー・分析の集計から外れる。</t>
  </si>
  <si>
    <t>読み込みは org（文字列）で絞り込み、RLSは organization_id で判定している。org='asuka' の行が org='kishu' の利用者に見えない（store.tsx:175-181）</t>
  </si>
  <si>
    <t>DBの記録36件に対し画面は32件。org='asuka' かつ organization_id は同一の行が7件</t>
  </si>
  <si>
    <t>③に該当（画面の件数・集計が実態と食い違う）</t>
  </si>
  <si>
    <t>org を organization_id に一本化する。移行前に既存データの org を揃える</t>
  </si>
  <si>
    <t>未対応（要判断）。同じ organization_id に2農場（kishu / asuka）が同居しており、コードだけ直すと他農場のデータが見えるようになる。データの分離方針を決めてから</t>
  </si>
  <si>
    <t>D-03</t>
  </si>
  <si>
    <t>分析（レポート）</t>
  </si>
  <si>
    <t>防除回数が実態より少ない</t>
  </si>
  <si>
    <t>2026年の散布記録は3件（防除1・農薬散布2）だが、KPIは「1回」と表示する。</t>
  </si>
  <si>
    <t>AnalyticsScreen.tsx:150 が work_type === '防除' のみを数え、'農薬散布' を除外している</t>
  </si>
  <si>
    <t>DB再計算：防除1・農薬散布2。画面表示：1回</t>
  </si>
  <si>
    <t>③に該当（画面の数字が実態と違う）</t>
  </si>
  <si>
    <t>散布系の作業種別をまとめて数える（D-04の語彙統一と同時に直す）</t>
  </si>
  <si>
    <t>修正済み・実機確認済み。Expo は isPesticideWorkType で両方を数える（1回→3回）。Web の分析（AnalyticsView.tsx）と Web の LINE 通知も同じ不具合があったので合わせて修正（ビルド・テスト410件通過）</t>
  </si>
  <si>
    <t>D-04</t>
  </si>
  <si>
    <t>中</t>
  </si>
  <si>
    <t>記録一覧／記録フォーム</t>
  </si>
  <si>
    <t>作業の種類の言葉が2系統ある</t>
  </si>
  <si>
    <t>フィルタの選択肢に「農薬散布」が無く、該当2件を絞り込めない。マスタ側には「防除」「播種」「剪定」が無い。</t>
  </si>
  <si>
    <t>画面は WORK_TEMPLATES（収穫・施肥・防除・播種・灌水・草刈り・剪定・その他／lib/types.ts:106）、DBは work_categories（施肥・農薬散布・収穫・整枝剪定・草刈り・その他）</t>
  </si>
  <si>
    <t>実データの内訳：収穫17・草刈り8・防除4・施肥3・その他2・農薬散布2</t>
  </si>
  <si>
    <t>③に間接的に該当（D-03の原因）</t>
  </si>
  <si>
    <t>作業種別をマスタに寄せ、既存データの表記を移行する</t>
  </si>
  <si>
    <t>部分対応。集計側（D-03）は直した。作業種別の語彙統一とデータ移行は未着手</t>
  </si>
  <si>
    <t>D-05</t>
  </si>
  <si>
    <t>記録フォーム</t>
  </si>
  <si>
    <t>収穫なのに数量を入力できない</t>
  </si>
  <si>
    <t>作業の種類を触らずに保存すると、種類名だけ入って作業種別との紐付けが空になる。単位(kg)が引けず数量欄が出ないため、収穫量が残らない。</t>
  </si>
  <si>
    <t>初期値が workType=WORK_TEMPLATES[0]（＝収穫）／workCategoryId=0（QuickReportSheet.tsx:42-43）。数量欄の表示条件は selectedCat?.unit など（同225行）</t>
  </si>
  <si>
    <t>テスト記録：work_type='収穫'・work_category_id=null・quantity=''。ホームの「今週の収穫」は記録なしのまま</t>
  </si>
  <si>
    <t>③に該当（収穫量の集計に乗らない）</t>
  </si>
  <si>
    <t>初期値で種類と作業種別を対応させる。または種類の選択を必須にする</t>
  </si>
  <si>
    <t>修正済み・実機確認済み。種類名でマスタに当てて紐付け、単位と数量欄を出す。保存時も work_category_id / quantity_unit を補う</t>
  </si>
  <si>
    <t>D-06</t>
  </si>
  <si>
    <t>課題</t>
  </si>
  <si>
    <t>記録詳細</t>
  </si>
  <si>
    <t>記録を編集できない</t>
  </si>
  <si>
    <t>詳細シートに編集の導線が無く、削除して作り直すことになる（Web版には編集がある）。</t>
  </si>
  <si>
    <t>ReportDetailSheet.tsx は削除のみ</t>
  </si>
  <si>
    <t>画面確認</t>
  </si>
  <si>
    <t>①②③いずれも該当せず</t>
  </si>
  <si>
    <t>0.2.0以降で編集の導線を追加</t>
  </si>
  <si>
    <t>未対応（0.2.0 以降）。審査の観点には当たらない</t>
  </si>
  <si>
    <t>D-07</t>
  </si>
  <si>
    <t>コメント</t>
  </si>
  <si>
    <t>コメントを削除できない</t>
  </si>
  <si>
    <t>追加と編集はできるが、削除する処理が無い。投稿者が自分の投稿を消せない。</t>
  </si>
  <si>
    <t>store.tsx に addComment / editComment のみ（deleteComment が無い）</t>
  </si>
  <si>
    <t>コード確認</t>
  </si>
  <si>
    <t>①の可能性（審査 1.2：利用者が作った内容の扱い）</t>
  </si>
  <si>
    <t>削除を追加する。審査で指摘された場合は必須</t>
  </si>
  <si>
    <t>修正済み・実機確認済み。store に deleteComment を追加し、自分のコメントにゴミ箱を表示（確認ダイアログ付き）。投稿→削除をDBで確認</t>
  </si>
  <si>
    <t>D-08</t>
  </si>
  <si>
    <t>低</t>
  </si>
  <si>
    <t>通知をタップしても説明なく別画面に飛ぶ</t>
  </si>
  <si>
    <t>対象の記録が削除済みだと、無言で記録タブのカレンダーに戻る。</t>
  </si>
  <si>
    <t>App.tsx:88-97 openTarget が false のとき setTab('report') のみ</t>
  </si>
  <si>
    <t>通知の対象 report id=40 はDBに存在しない（削除済み）</t>
  </si>
  <si>
    <t>「対象は削除されています」を表示する</t>
  </si>
  <si>
    <t>修正済み・実機確認済み。対象が無いときは「対象が見つかりません」を表示してから記録タブへ</t>
  </si>
  <si>
    <t>D-09</t>
  </si>
  <si>
    <t>分析（計画）</t>
  </si>
  <si>
    <t>計画が3件あるのにバーが1本も出ない</t>
  </si>
  <si>
    <t>表示期間（当月から3か月）の外にある計画は、バーも理由も出ないため空に見える。</t>
  </si>
  <si>
    <t>GanttScreen.tsx は viewStart=当月1日・3か月固定。実データの期間は 2026-06-14〜08-06 など</t>
  </si>
  <si>
    <t>画面表示とDBの projects 3件（うち2件は名称が「テスト」）</t>
  </si>
  <si>
    <t>期間外の件数を注記するか、初期表示を直近の計画に合わせる</t>
  </si>
  <si>
    <t>修正済み・実機確認済み。「この期間の外に◯件あります」を注記</t>
  </si>
  <si>
    <t>D-10</t>
  </si>
  <si>
    <t>ボタン名に「AI」が出ている</t>
  </si>
  <si>
    <t>「メモをAIでフォームに反映」は入口のボタンなので、AIの語を出さない規約に反する。</t>
  </si>
  <si>
    <t>CLAUDE.md「AI機能の見せ方」：入口に『AI』の語を出さない／注意書きでは明示する</t>
  </si>
  <si>
    <t>「メモを項目に振り分け」などに変更</t>
  </si>
  <si>
    <t>修正済み。ボタン名を「メモを項目に振り分け」に変更（入口からAIの語を外す）</t>
  </si>
  <si>
    <t>D-11</t>
  </si>
  <si>
    <t>ボタンが問いかけ形のまま</t>
  </si>
  <si>
    <t>「次の散布はいつ？」はWebで是正済みの問いかけ形がExpoに残っている。</t>
  </si>
  <si>
    <t>docs/decisions/20260909-ai-wording-and-icons.md</t>
  </si>
  <si>
    <t>①②③いずれも該当せず（既知課題に記録済み）</t>
  </si>
  <si>
    <t>0.2.0でWebの文言をまとめて反映</t>
  </si>
  <si>
    <t>修正済み。「次の散布はいつ？」→「次の散布時期」（ホームのボタンとシート見出し）</t>
  </si>
  <si>
    <t>D-12</t>
  </si>
  <si>
    <t>記録（カレンダー）</t>
  </si>
  <si>
    <t>未報告の作業が無期限に積み上がる</t>
  </si>
  <si>
    <t>6月・7月の予定が「未報告」として残り続け、直近の作業が埋もれる。</t>
  </si>
  <si>
    <t>ReportScreen.tsx の unreported は日付の下限を設けていない</t>
  </si>
  <si>
    <t>画面表示（2026-06-28以降が並ぶ）</t>
  </si>
  <si>
    <t>表示期間の下限を設けるか、古いものを畳む</t>
  </si>
  <si>
    <t>修正済み・実機確認済み。未報告は直近60日だけ表示し、それ以前は件数を注記</t>
  </si>
  <si>
    <t>D-13</t>
  </si>
  <si>
    <t>全画面</t>
  </si>
  <si>
    <t>半角カナの名称がそのまま表示される</t>
  </si>
  <si>
    <t>「ｻﾝｹｲ石灰硫黄合剤」「丸京印ﾎﾞﾙﾄﾞｰ液用生石灰」「ｷｬﾍﾞﾂ」など、登録データの半角カナが画面と日報にそのまま出る。</t>
  </si>
  <si>
    <t>FAMIC由来の表記をそのまま保持しているため</t>
  </si>
  <si>
    <t>管理タブ・記録一覧・日報の出力</t>
  </si>
  <si>
    <t>表示時に全角へ正規化する（照合に使う値は変えない）</t>
  </si>
  <si>
    <t>修正済み・実機確認済み。lib/text.ts の dispName で、表示するときだけ半角カナを全角に（保存値・照合は変えない）。ホーム・記録詳細・管理・記録フォーム・AI履歴に適用</t>
  </si>
  <si>
    <t>D-14</t>
  </si>
  <si>
    <t>作業時間が0分のとき空で保存される</t>
  </si>
  <si>
    <t>開始と終了が同じ場合、work_minutes が null になる。</t>
  </si>
  <si>
    <t>calcWorkMinutes の戻り値の扱い（QuickReportSheet.tsx:200）</t>
  </si>
  <si>
    <t>テスト記録：work_start=work_end=12:24、work_minutes=null</t>
  </si>
  <si>
    <t>0分として保存するか、入力を弾く</t>
  </si>
  <si>
    <t>修正済み。calcWorkMinutes が開始＝終了のとき 0 を返す（負の値は判定不可として null のまま）</t>
  </si>
  <si>
    <t>D-15</t>
  </si>
  <si>
    <t>運用</t>
  </si>
  <si>
    <t>管理（圃場）</t>
  </si>
  <si>
    <t>圃場の位置が全件未設定</t>
  </si>
  <si>
    <t>C圃場・D圃場とも位置未設定で、圃場マップにピンが出ない。</t>
  </si>
  <si>
    <t>実データの状態（アプリの不具合ではない）</t>
  </si>
  <si>
    <t>管理タブ・圃場マップ</t>
  </si>
  <si>
    <t>②に関わる（必達3タスクの前提データ）</t>
  </si>
  <si>
    <t>現地で「現在地」から位置を登録する</t>
  </si>
  <si>
    <t>オーナー作業（現地で位置を登録）</t>
  </si>
  <si>
    <t>D-16</t>
  </si>
  <si>
    <t>記録に聞く</t>
  </si>
  <si>
    <t>「記録に聞く」だけ AI の利用ログを残していない</t>
  </si>
  <si>
    <t>記録に聞くの呼び出しが ai_outputs に保存されず、撤退条件（n≧30）の集計と分析の AI 履歴から漏れていた。Web 版も同様。</t>
  </si>
  <si>
    <t>SearchChatSheet（AiSheets.tsx）が saveAiOutput を呼んでいなかった</t>
  </si>
  <si>
    <t>コード確認（2026-09-16）</t>
  </si>
  <si>
    <t>③に準ずる（計測の欠落）</t>
  </si>
  <si>
    <t>修正済み（Expo）。kind=search_chat・entryPoint 必須で保存。Web は未修正</t>
  </si>
  <si>
    <t>D-17</t>
  </si>
  <si>
    <t>分析（AI出力履歴）</t>
  </si>
  <si>
    <t>「相談」の履歴にラベルが無い／音声整理が JSON のまま</t>
  </si>
  <si>
    <t>KIND_LABEL に advice が無く種類なしで表示。音声整理は output_json をそのまま文字列化していた。</t>
  </si>
  <si>
    <t>AnalyticsScreen.tsx の KIND_LABEL / summarize</t>
  </si>
  <si>
    <t>画面表示（2026-09-17）</t>
  </si>
  <si>
    <t>修正済み・実機確認済み。相談＝回答本文、音声整理＝作業・圃場・農薬・メモの要約で表示</t>
  </si>
  <si>
    <t>D-18</t>
  </si>
  <si>
    <t>記録（予定）</t>
  </si>
  <si>
    <t>予定の「追加する」「保存」ボタンだけ青い</t>
  </si>
  <si>
    <t>他画面の主操作は緑（ink）のピルだが、予定の2つのボタンだけ info の青・角丸8で描かれていた。</t>
  </si>
  <si>
    <t>CalendarView.tsx の handleAdd / saveEdit のボタン</t>
  </si>
  <si>
    <t>画面表示（2026-09-16）</t>
  </si>
  <si>
    <t>修正済み。ink 塗りの完全ピルに変更</t>
  </si>
  <si>
    <t>D-19</t>
  </si>
  <si>
    <t>データ（組織）</t>
  </si>
  <si>
    <t>同じ organization_id に2農場が同居している</t>
  </si>
  <si>
    <t>利用者5人のうち「飛鳥ワイン」だけ org='asuka'。記録3・作物2・圃場1・農薬1も同様。アプリは org で絞るので分かれて見えるが、RLS は organization_id で判定するため、API を直接叩けば互いのデータを読める。</t>
  </si>
  <si>
    <t>users / reports / crops / fields / pesticides の org と organization_id の不一致</t>
  </si>
  <si>
    <t>DB 読み返し（2026-09-16）</t>
  </si>
  <si>
    <t>審査の前提ではない（kishu 1組織で申請）。他農場に配る前には必須</t>
  </si>
  <si>
    <t>未対応（方針決定待ち）。組織を分けるか org を正とするかを決めてから直す。D-02 の根本原因</t>
  </si>
  <si>
    <t>画面の表示</t>
  </si>
  <si>
    <t>DBの実測</t>
  </si>
  <si>
    <t>判定</t>
  </si>
  <si>
    <t>関連</t>
  </si>
  <si>
    <t>作業記録の件数</t>
  </si>
  <si>
    <t>32件</t>
  </si>
  <si>
    <t>36件</t>
  </si>
  <si>
    <t>不一致</t>
  </si>
  <si>
    <t>D-02（org不一致の3件が非表示）</t>
  </si>
  <si>
    <t>前回の散布からの日数</t>
  </si>
  <si>
    <t>11日</t>
  </si>
  <si>
    <t>11日（2026-09-05）</t>
  </si>
  <si>
    <t>一致</t>
  </si>
  <si>
    <t>—</t>
  </si>
  <si>
    <t>0件</t>
  </si>
  <si>
    <t>2026年の収穫量</t>
  </si>
  <si>
    <t>458kg</t>
  </si>
  <si>
    <t>kg以外の1件は画面も除外と明記</t>
  </si>
  <si>
    <t>前年同時期比（収穫量）</t>
  </si>
  <si>
    <t>-7%</t>
  </si>
  <si>
    <t>-6.5%（490kg比）</t>
  </si>
  <si>
    <t>四捨五入の差のみ</t>
  </si>
  <si>
    <t>総作業時間</t>
  </si>
  <si>
    <t>88.1h</t>
  </si>
  <si>
    <t>開始終了時刻から算出</t>
  </si>
  <si>
    <t>前年同時期比（作業時間）</t>
  </si>
  <si>
    <t>+199%</t>
  </si>
  <si>
    <t>+198.6%（29.5h比）</t>
  </si>
  <si>
    <t>防除回数</t>
  </si>
  <si>
    <t>1回</t>
  </si>
  <si>
    <t>3件（防除1・農薬散布2）</t>
  </si>
  <si>
    <t>D-03（集計対象が『防除』のみ）</t>
  </si>
  <si>
    <t>目標達成率</t>
  </si>
  <si>
    <t>目標が未設定</t>
  </si>
  <si>
    <t>目標が入っている作物は非表示行のみ</t>
  </si>
  <si>
    <t>D-02の影響</t>
  </si>
  <si>
    <t>作物の件数</t>
  </si>
  <si>
    <t>5件</t>
  </si>
  <si>
    <t>7件</t>
  </si>
  <si>
    <t>D-02（asukaの2件が非表示）</t>
  </si>
  <si>
    <t>圃場の件数</t>
  </si>
  <si>
    <t>2件</t>
  </si>
  <si>
    <t>3件</t>
  </si>
  <si>
    <t>D-02（御所が非表示）</t>
  </si>
  <si>
    <t>農薬の件数</t>
  </si>
  <si>
    <t>D-02（ジマンダイセン水和剤が非表示）</t>
  </si>
  <si>
    <t>相談の対象</t>
  </si>
  <si>
    <t>畑全体＋作付け5件</t>
  </si>
  <si>
    <t>作物5件（kishu分）</t>
  </si>
  <si>
    <t>計画</t>
  </si>
  <si>
    <t>計画の件数</t>
  </si>
  <si>
    <t>バーは期間外で非表示（D-09）</t>
  </si>
  <si>
    <t>未検証の理由</t>
  </si>
  <si>
    <t>次にやること</t>
  </si>
  <si>
    <t>U-01</t>
  </si>
  <si>
    <t>写真診断の実行（推定まで）</t>
  </si>
  <si>
    <t>シミュレータに写真が無く、simctl addmedia が Xcode ライセンス未同意で実行できない（同意には管理者のパスワードが必要）</t>
  </si>
  <si>
    <t>写真を1枚入れてから、選択→アップロード→推定までを通す</t>
  </si>
  <si>
    <t>U-02</t>
  </si>
  <si>
    <t>記録に聞く（記録の検索応答）</t>
  </si>
  <si>
    <t>確認済み（2026-09-16）：「最近の防除は2026年6月10日」と根拠付きで回答。ただしこの機能だけ ai_outputs に利用ログを残していない（Web版も同様）</t>
  </si>
  <si>
    <t>対応不要</t>
  </si>
  <si>
    <t>U-03</t>
  </si>
  <si>
    <t>メモの自動振り分け（音声メモの整理）</t>
  </si>
  <si>
    <t>確認済み（2026-09-16）：メモが整形され、作業の種類も自動で「その他」に。ai_outputs に voice_structure / note_field</t>
  </si>
  <si>
    <t>U-04</t>
  </si>
  <si>
    <t>予定の作成・編集・削除</t>
  </si>
  <si>
    <t>確認済み（2026-09-16）：9/17 の予定を作成→編集フォーム→削除まで動作。日別シート経由の日付はずれない</t>
  </si>
  <si>
    <t>U-05</t>
  </si>
  <si>
    <t>担当者別フィルタ・並替・日別シート</t>
  </si>
  <si>
    <t>確認済み（2026-09-16）：担当者別（全員＋利用者5人）・並替・日別シートとも動作</t>
  </si>
  <si>
    <t>U-06</t>
  </si>
  <si>
    <t>プッシュ通知の受信</t>
  </si>
  <si>
    <t>実機とAPNsが必要（シミュレータでは受信できない）</t>
  </si>
  <si>
    <t>TestFlight配信時に確認する</t>
  </si>
  <si>
    <t>U-07</t>
  </si>
  <si>
    <t>権限の違い（作業者・閲覧者）</t>
  </si>
  <si>
    <t>現在のアカウントが管理者のため</t>
  </si>
  <si>
    <t>workerアカウント作成後に確認（リリース条件③と同時）</t>
  </si>
  <si>
    <t>U-08</t>
  </si>
  <si>
    <t>ログアウトと再ログイン</t>
  </si>
  <si>
    <t>ログイン情報の入力は人が行う決まりのため</t>
  </si>
  <si>
    <t>オーナーが実施</t>
  </si>
  <si>
    <t>U-09</t>
  </si>
  <si>
    <t>通信断・オフライン時の挙動</t>
  </si>
  <si>
    <t>未実施</t>
  </si>
  <si>
    <t>機内モードで1回確認する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</si>
</sst>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2E7D32"/>
      <sz val="14"/>
      <name val="Arial"/>
    </font>
    <font>
      <b/>
      <sz val="10"/>
      <name val="Arial"/>
    </font>
    <font>
      <sz val="10"/>
      <name val="Arial"/>
    </font>
    <font>
      <b/>
      <sz val="12"/>
      <name val="Arial"/>
    </font>
    <font>
      <b/>
      <color rgb="FFFFFFFF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D9D9"/>
      </patternFill>
    </fill>
    <fill>
      <patternFill patternType="solid">
        <fgColor rgb="FFFFF2CC"/>
      </patternFill>
    </fill>
    <fill>
      <patternFill patternType="solid">
        <fgColor rgb="FFEFEFF1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3" fillId="0" borderId="0" xfId="0" applyFont="1"/>
    <xf numFmtId="0" fontId="5" fillId="2" borderId="0" xfId="0" applyFont="1" applyFill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86" customWidth="1"/>
  </cols>
  <sheetData>
    <row r="1" spans="1:2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14</v>
      </c>
    </row>
    <row r="10" spans="1:2" x14ac:dyDescent="0.25">
      <c r="A10" s="2" t="s">
        <v>15</v>
      </c>
      <c r="B10" s="3" t="s">
        <v>16</v>
      </c>
    </row>
    <row r="11" spans="1:2" x14ac:dyDescent="0.25">
      <c r="A11" s="2" t="s">
        <v>17</v>
      </c>
      <c r="B11" s="3" t="s">
        <v>18</v>
      </c>
    </row>
    <row r="12" spans="1:2" x14ac:dyDescent="0.25">
      <c r="A12" s="2" t="s">
        <v>19</v>
      </c>
      <c r="B12" s="3" t="s">
        <v>20</v>
      </c>
    </row>
    <row r="14" spans="1:2" x14ac:dyDescent="0.25">
      <c r="A14" s="4" t="s">
        <v>21</v>
      </c>
    </row>
    <row r="15" spans="1:2" x14ac:dyDescent="0.25">
      <c r="A15" s="5" t="s">
        <v>22</v>
      </c>
      <c r="B15" s="2">
        <f>COUNTA('2_検証項目'!A2:A100)</f>
        <v>25</v>
      </c>
    </row>
    <row r="16" spans="1:2" x14ac:dyDescent="0.25">
      <c r="A16" s="5" t="s">
        <v>23</v>
      </c>
      <c r="B16" s="2">
        <f>COUNTIF('2_検証項目'!F2:F100,"OK")</f>
        <v>22</v>
      </c>
    </row>
    <row r="17" spans="1:2" x14ac:dyDescent="0.25">
      <c r="A17" s="5" t="s">
        <v>24</v>
      </c>
      <c r="B17" s="2">
        <f>COUNTIF('2_検証項目'!F2:F100,"OK（*")</f>
        <v>2</v>
      </c>
    </row>
    <row r="18" spans="1:2" x14ac:dyDescent="0.25">
      <c r="A18" s="5" t="s">
        <v>25</v>
      </c>
      <c r="B18" s="2">
        <f>COUNTA('3_不具合・課題'!A2:A100)</f>
        <v>19</v>
      </c>
    </row>
    <row r="19" spans="1:2" x14ac:dyDescent="0.25">
      <c r="A19" s="5" t="s">
        <v>26</v>
      </c>
      <c r="B19" s="2">
        <f>COUNTIF('3_不具合・課題'!C2:C100,"高")</f>
        <v>4</v>
      </c>
    </row>
    <row r="20" spans="1:2" x14ac:dyDescent="0.25">
      <c r="A20" s="5" t="s">
        <v>27</v>
      </c>
      <c r="B20" s="2">
        <f>COUNTIF('3_不具合・課題'!C2:C100,"中")</f>
        <v>6</v>
      </c>
    </row>
    <row r="21" spans="1:2" x14ac:dyDescent="0.25">
      <c r="A21" s="5" t="s">
        <v>28</v>
      </c>
      <c r="B21" s="2">
        <f>COUNTIF('3_不具合・課題'!C2:C100,"低")</f>
        <v>9</v>
      </c>
    </row>
    <row r="22" spans="1:2" x14ac:dyDescent="0.25">
      <c r="A22" s="5" t="s">
        <v>29</v>
      </c>
      <c r="B22" s="2">
        <f>COUNTIF('4_数値の突き合わせ'!E2:E100,"不一致")</f>
        <v>5</v>
      </c>
    </row>
    <row r="23" spans="1:2" x14ac:dyDescent="0.25">
      <c r="A23" s="5" t="s">
        <v>30</v>
      </c>
      <c r="B23" s="2">
        <f>COUNTA('5_未検証'!A2:A100)</f>
        <v>9</v>
      </c>
    </row>
    <row r="25" spans="1:2" x14ac:dyDescent="0.25">
      <c r="A25" s="4" t="s">
        <v>31</v>
      </c>
    </row>
    <row r="26" ht="28" customHeight="1" spans="1:2" x14ac:dyDescent="0.25">
      <c r="A26" s="3" t="s">
        <v>32</v>
      </c>
      <c r="B26" s="3"/>
    </row>
    <row r="27" ht="28" customHeight="1" spans="1:2" x14ac:dyDescent="0.25">
      <c r="A27" s="3" t="s">
        <v>33</v>
      </c>
      <c r="B27" s="3"/>
    </row>
    <row r="28" ht="28" customHeight="1" spans="1:2" x14ac:dyDescent="0.25">
      <c r="A28" s="3" t="s">
        <v>34</v>
      </c>
      <c r="B28" s="3"/>
    </row>
    <row r="29" ht="28" customHeight="1" spans="1:2" x14ac:dyDescent="0.25">
      <c r="A29" s="3" t="s">
        <v>35</v>
      </c>
      <c r="B29" s="3"/>
    </row>
    <row r="31" spans="1:2" x14ac:dyDescent="0.25">
      <c r="A31" s="4" t="s">
        <v>36</v>
      </c>
    </row>
    <row r="32" ht="26" customHeight="1" spans="1:2" x14ac:dyDescent="0.25">
      <c r="A32" s="3" t="s">
        <v>37</v>
      </c>
      <c r="B32" s="3"/>
    </row>
    <row r="33" ht="26" customHeight="1" spans="1:2" x14ac:dyDescent="0.25">
      <c r="A33" s="3" t="s">
        <v>38</v>
      </c>
      <c r="B33" s="3"/>
    </row>
    <row r="34" ht="26" customHeight="1" spans="1:2" x14ac:dyDescent="0.25">
      <c r="A34" s="3" t="s">
        <v>39</v>
      </c>
      <c r="B34" s="3"/>
    </row>
    <row r="35" ht="26" customHeight="1" spans="1:2" x14ac:dyDescent="0.25">
      <c r="A35" s="3" t="s">
        <v>40</v>
      </c>
      <c r="B35" s="3"/>
    </row>
    <row r="36" ht="26" customHeight="1" spans="1:2" x14ac:dyDescent="0.25">
      <c r="A36" s="3" t="s">
        <v>41</v>
      </c>
      <c r="B36" s="3"/>
    </row>
  </sheetData>
  <mergeCells count="9">
    <mergeCell ref="A26:B26"/>
    <mergeCell ref="A27:B27"/>
    <mergeCell ref="A28:B28"/>
    <mergeCell ref="A29:B29"/>
    <mergeCell ref="A32:B32"/>
    <mergeCell ref="A33:B33"/>
    <mergeCell ref="A34:B34"/>
    <mergeCell ref="A35:B35"/>
    <mergeCell ref="A36:B3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1" customWidth="1"/>
    <col min="3" max="3" width="22" customWidth="1"/>
    <col min="4" max="4" width="42" customWidth="1"/>
    <col min="5" max="5" width="46" customWidth="1"/>
    <col min="6" max="6" width="16" customWidth="1"/>
    <col min="7" max="7" width="38" customWidth="1"/>
  </cols>
  <sheetData>
    <row r="1" ht="30" customHeight="1" spans="1:7" s="6" customFormat="1" x14ac:dyDescent="0.25">
      <c r="A1" s="6" t="s">
        <v>42</v>
      </c>
      <c r="B1" s="6" t="s">
        <v>43</v>
      </c>
      <c r="C1" s="6" t="s">
        <v>44</v>
      </c>
      <c r="D1" s="6" t="s">
        <v>45</v>
      </c>
      <c r="E1" s="6" t="s">
        <v>46</v>
      </c>
      <c r="F1" s="6" t="s">
        <v>47</v>
      </c>
      <c r="G1" s="6" t="s">
        <v>48</v>
      </c>
    </row>
    <row r="2" spans="1:7" s="3" customFormat="1" x14ac:dyDescent="0.25">
      <c r="A2" s="7" t="s">
        <v>49</v>
      </c>
      <c r="B2" s="7" t="s">
        <v>50</v>
      </c>
      <c r="C2" s="7" t="s">
        <v>51</v>
      </c>
      <c r="D2" s="7" t="s">
        <v>52</v>
      </c>
      <c r="E2" s="7" t="s">
        <v>53</v>
      </c>
      <c r="F2" s="7" t="s">
        <v>54</v>
      </c>
      <c r="G2" s="7" t="s">
        <v>55</v>
      </c>
    </row>
    <row r="3" spans="1:7" s="3" customFormat="1" x14ac:dyDescent="0.25">
      <c r="A3" s="7" t="s">
        <v>56</v>
      </c>
      <c r="B3" s="7" t="s">
        <v>57</v>
      </c>
      <c r="C3" s="7" t="s">
        <v>58</v>
      </c>
      <c r="D3" s="7" t="s">
        <v>59</v>
      </c>
      <c r="E3" s="7" t="s">
        <v>60</v>
      </c>
      <c r="F3" s="7" t="s">
        <v>54</v>
      </c>
      <c r="G3" s="7" t="s">
        <v>61</v>
      </c>
    </row>
    <row r="4" spans="1:7" s="3" customFormat="1" x14ac:dyDescent="0.25">
      <c r="A4" s="7" t="s">
        <v>62</v>
      </c>
      <c r="B4" s="7" t="s">
        <v>57</v>
      </c>
      <c r="C4" s="7" t="s">
        <v>63</v>
      </c>
      <c r="D4" s="7" t="s">
        <v>64</v>
      </c>
      <c r="E4" s="7" t="s">
        <v>65</v>
      </c>
      <c r="F4" s="7" t="s">
        <v>54</v>
      </c>
      <c r="G4" s="7" t="s">
        <v>61</v>
      </c>
    </row>
    <row r="5" spans="1:7" s="3" customFormat="1" x14ac:dyDescent="0.25">
      <c r="A5" s="7" t="s">
        <v>66</v>
      </c>
      <c r="B5" s="7" t="s">
        <v>57</v>
      </c>
      <c r="C5" s="7" t="s">
        <v>67</v>
      </c>
      <c r="D5" s="7" t="s">
        <v>68</v>
      </c>
      <c r="E5" s="7" t="s">
        <v>69</v>
      </c>
      <c r="F5" s="7" t="s">
        <v>54</v>
      </c>
      <c r="G5" s="7" t="s">
        <v>61</v>
      </c>
    </row>
    <row r="6" spans="1:7" s="3" customFormat="1" x14ac:dyDescent="0.25">
      <c r="A6" s="7" t="s">
        <v>70</v>
      </c>
      <c r="B6" s="7" t="s">
        <v>57</v>
      </c>
      <c r="C6" s="7" t="s">
        <v>71</v>
      </c>
      <c r="D6" s="7" t="s">
        <v>72</v>
      </c>
      <c r="E6" s="7" t="s">
        <v>73</v>
      </c>
      <c r="F6" s="7" t="s">
        <v>54</v>
      </c>
      <c r="G6" s="7" t="s">
        <v>74</v>
      </c>
    </row>
    <row r="7" spans="1:7" s="3" customFormat="1" x14ac:dyDescent="0.25">
      <c r="A7" s="7" t="s">
        <v>75</v>
      </c>
      <c r="B7" s="7" t="s">
        <v>57</v>
      </c>
      <c r="C7" s="7" t="s">
        <v>76</v>
      </c>
      <c r="D7" s="7" t="s">
        <v>77</v>
      </c>
      <c r="E7" s="7" t="s">
        <v>78</v>
      </c>
      <c r="F7" s="7" t="s">
        <v>54</v>
      </c>
      <c r="G7" s="7" t="s">
        <v>79</v>
      </c>
    </row>
    <row r="8" spans="1:7" s="3" customFormat="1" x14ac:dyDescent="0.25">
      <c r="A8" s="7" t="s">
        <v>80</v>
      </c>
      <c r="B8" s="7" t="s">
        <v>81</v>
      </c>
      <c r="C8" s="7" t="s">
        <v>82</v>
      </c>
      <c r="D8" s="7" t="s">
        <v>83</v>
      </c>
      <c r="E8" s="7" t="s">
        <v>84</v>
      </c>
      <c r="F8" s="7" t="s">
        <v>54</v>
      </c>
      <c r="G8" s="7" t="s">
        <v>85</v>
      </c>
    </row>
    <row r="9" spans="1:7" s="3" customFormat="1" x14ac:dyDescent="0.25">
      <c r="A9" s="7" t="s">
        <v>86</v>
      </c>
      <c r="B9" s="7" t="s">
        <v>81</v>
      </c>
      <c r="C9" s="7" t="s">
        <v>87</v>
      </c>
      <c r="D9" s="7" t="s">
        <v>88</v>
      </c>
      <c r="E9" s="7" t="s">
        <v>89</v>
      </c>
      <c r="F9" s="7" t="s">
        <v>54</v>
      </c>
      <c r="G9" s="7" t="s">
        <v>90</v>
      </c>
    </row>
    <row r="10" spans="1:7" s="3" customFormat="1" x14ac:dyDescent="0.25">
      <c r="A10" s="7" t="s">
        <v>91</v>
      </c>
      <c r="B10" s="7" t="s">
        <v>81</v>
      </c>
      <c r="C10" s="7" t="s">
        <v>92</v>
      </c>
      <c r="D10" s="7" t="s">
        <v>93</v>
      </c>
      <c r="E10" s="7" t="s">
        <v>94</v>
      </c>
      <c r="F10" s="7" t="s">
        <v>54</v>
      </c>
      <c r="G10" s="7" t="s">
        <v>74</v>
      </c>
    </row>
    <row r="11" spans="1:7" s="3" customFormat="1" x14ac:dyDescent="0.25">
      <c r="A11" s="7" t="s">
        <v>95</v>
      </c>
      <c r="B11" s="7" t="s">
        <v>81</v>
      </c>
      <c r="C11" s="7" t="s">
        <v>96</v>
      </c>
      <c r="D11" s="7" t="s">
        <v>97</v>
      </c>
      <c r="E11" s="7" t="s">
        <v>98</v>
      </c>
      <c r="F11" s="7" t="s">
        <v>54</v>
      </c>
      <c r="G11" s="7" t="s">
        <v>74</v>
      </c>
    </row>
    <row r="12" spans="1:7" s="3" customFormat="1" x14ac:dyDescent="0.25">
      <c r="A12" s="7" t="s">
        <v>99</v>
      </c>
      <c r="B12" s="7" t="s">
        <v>81</v>
      </c>
      <c r="C12" s="7" t="s">
        <v>100</v>
      </c>
      <c r="D12" s="7" t="s">
        <v>101</v>
      </c>
      <c r="E12" s="7" t="s">
        <v>102</v>
      </c>
      <c r="F12" s="7" t="s">
        <v>103</v>
      </c>
      <c r="G12" s="7" t="s">
        <v>104</v>
      </c>
    </row>
    <row r="13" spans="1:7" s="3" customFormat="1" x14ac:dyDescent="0.25">
      <c r="A13" s="7" t="s">
        <v>105</v>
      </c>
      <c r="B13" s="7" t="s">
        <v>81</v>
      </c>
      <c r="C13" s="7" t="s">
        <v>106</v>
      </c>
      <c r="D13" s="7" t="s">
        <v>107</v>
      </c>
      <c r="E13" s="7" t="s">
        <v>108</v>
      </c>
      <c r="F13" s="7" t="s">
        <v>54</v>
      </c>
      <c r="G13" s="7" t="s">
        <v>74</v>
      </c>
    </row>
    <row r="14" spans="1:7" s="3" customFormat="1" x14ac:dyDescent="0.25">
      <c r="A14" s="7" t="s">
        <v>109</v>
      </c>
      <c r="B14" s="7" t="s">
        <v>110</v>
      </c>
      <c r="C14" s="7" t="s">
        <v>111</v>
      </c>
      <c r="D14" s="7" t="s">
        <v>112</v>
      </c>
      <c r="E14" s="7" t="s">
        <v>113</v>
      </c>
      <c r="F14" s="7" t="s">
        <v>54</v>
      </c>
      <c r="G14" s="7" t="s">
        <v>85</v>
      </c>
    </row>
    <row r="15" spans="1:7" s="3" customFormat="1" x14ac:dyDescent="0.25">
      <c r="A15" s="7" t="s">
        <v>114</v>
      </c>
      <c r="B15" s="7" t="s">
        <v>115</v>
      </c>
      <c r="C15" s="7" t="s">
        <v>116</v>
      </c>
      <c r="D15" s="7" t="s">
        <v>117</v>
      </c>
      <c r="E15" s="7" t="s">
        <v>118</v>
      </c>
      <c r="F15" s="7" t="s">
        <v>54</v>
      </c>
      <c r="G15" s="7" t="s">
        <v>119</v>
      </c>
    </row>
    <row r="16" spans="1:7" s="3" customFormat="1" x14ac:dyDescent="0.25">
      <c r="A16" s="7" t="s">
        <v>120</v>
      </c>
      <c r="B16" s="7" t="s">
        <v>115</v>
      </c>
      <c r="C16" s="7" t="s">
        <v>121</v>
      </c>
      <c r="D16" s="7" t="s">
        <v>122</v>
      </c>
      <c r="E16" s="7" t="s">
        <v>123</v>
      </c>
      <c r="F16" s="7" t="s">
        <v>54</v>
      </c>
      <c r="G16" s="7" t="s">
        <v>119</v>
      </c>
    </row>
    <row r="17" spans="1:7" s="3" customFormat="1" x14ac:dyDescent="0.25">
      <c r="A17" s="7" t="s">
        <v>124</v>
      </c>
      <c r="B17" s="7" t="s">
        <v>115</v>
      </c>
      <c r="C17" s="7" t="s">
        <v>125</v>
      </c>
      <c r="D17" s="7" t="s">
        <v>126</v>
      </c>
      <c r="E17" s="7" t="s">
        <v>127</v>
      </c>
      <c r="F17" s="7" t="s">
        <v>54</v>
      </c>
      <c r="G17" s="7" t="s">
        <v>128</v>
      </c>
    </row>
    <row r="18" spans="1:7" s="3" customFormat="1" x14ac:dyDescent="0.25">
      <c r="A18" s="7" t="s">
        <v>129</v>
      </c>
      <c r="B18" s="7" t="s">
        <v>115</v>
      </c>
      <c r="C18" s="7" t="s">
        <v>130</v>
      </c>
      <c r="D18" s="7" t="s">
        <v>131</v>
      </c>
      <c r="E18" s="7" t="s">
        <v>132</v>
      </c>
      <c r="F18" s="7" t="s">
        <v>103</v>
      </c>
      <c r="G18" s="7" t="s">
        <v>133</v>
      </c>
    </row>
    <row r="19" spans="1:7" s="3" customFormat="1" x14ac:dyDescent="0.25">
      <c r="A19" s="7" t="s">
        <v>134</v>
      </c>
      <c r="B19" s="7" t="s">
        <v>135</v>
      </c>
      <c r="C19" s="7" t="s">
        <v>136</v>
      </c>
      <c r="D19" s="7" t="s">
        <v>137</v>
      </c>
      <c r="E19" s="7" t="s">
        <v>138</v>
      </c>
      <c r="F19" s="7" t="s">
        <v>54</v>
      </c>
      <c r="G19" s="7" t="s">
        <v>139</v>
      </c>
    </row>
    <row r="20" spans="1:7" s="3" customFormat="1" x14ac:dyDescent="0.25">
      <c r="A20" s="7" t="s">
        <v>140</v>
      </c>
      <c r="B20" s="7" t="s">
        <v>135</v>
      </c>
      <c r="C20" s="7" t="s">
        <v>141</v>
      </c>
      <c r="D20" s="7" t="s">
        <v>142</v>
      </c>
      <c r="E20" s="7" t="s">
        <v>143</v>
      </c>
      <c r="F20" s="7" t="s">
        <v>54</v>
      </c>
      <c r="G20" s="7" t="s">
        <v>74</v>
      </c>
    </row>
    <row r="21" spans="1:7" s="3" customFormat="1" x14ac:dyDescent="0.25">
      <c r="A21" s="7" t="s">
        <v>144</v>
      </c>
      <c r="B21" s="7" t="s">
        <v>145</v>
      </c>
      <c r="C21" s="7" t="s">
        <v>146</v>
      </c>
      <c r="D21" s="7" t="s">
        <v>147</v>
      </c>
      <c r="E21" s="7" t="s">
        <v>148</v>
      </c>
      <c r="F21" s="7" t="s">
        <v>54</v>
      </c>
      <c r="G21" s="7" t="s">
        <v>149</v>
      </c>
    </row>
    <row r="22" spans="1:7" s="3" customFormat="1" x14ac:dyDescent="0.25">
      <c r="A22" s="7" t="s">
        <v>150</v>
      </c>
      <c r="B22" s="7" t="s">
        <v>151</v>
      </c>
      <c r="C22" s="7" t="s">
        <v>152</v>
      </c>
      <c r="D22" s="7" t="s">
        <v>153</v>
      </c>
      <c r="E22" s="7" t="s">
        <v>154</v>
      </c>
      <c r="F22" s="7" t="s">
        <v>54</v>
      </c>
      <c r="G22" s="7" t="s">
        <v>74</v>
      </c>
    </row>
    <row r="23" spans="1:7" s="3" customFormat="1" x14ac:dyDescent="0.25">
      <c r="A23" s="7" t="s">
        <v>155</v>
      </c>
      <c r="B23" s="7" t="s">
        <v>156</v>
      </c>
      <c r="C23" s="7" t="s">
        <v>157</v>
      </c>
      <c r="D23" s="7" t="s">
        <v>158</v>
      </c>
      <c r="E23" s="7" t="s">
        <v>159</v>
      </c>
      <c r="F23" s="7" t="s">
        <v>54</v>
      </c>
      <c r="G23" s="7" t="s">
        <v>160</v>
      </c>
    </row>
    <row r="24" spans="1:7" s="3" customFormat="1" x14ac:dyDescent="0.25">
      <c r="A24" s="7" t="s">
        <v>161</v>
      </c>
      <c r="B24" s="7" t="s">
        <v>156</v>
      </c>
      <c r="C24" s="7" t="s">
        <v>162</v>
      </c>
      <c r="D24" s="7" t="s">
        <v>163</v>
      </c>
      <c r="E24" s="7" t="s">
        <v>164</v>
      </c>
      <c r="F24" s="7" t="s">
        <v>54</v>
      </c>
      <c r="G24" s="7" t="s">
        <v>165</v>
      </c>
    </row>
    <row r="25" spans="1:7" s="3" customFormat="1" x14ac:dyDescent="0.25">
      <c r="A25" s="7" t="s">
        <v>166</v>
      </c>
      <c r="B25" s="7" t="s">
        <v>156</v>
      </c>
      <c r="C25" s="7" t="s">
        <v>167</v>
      </c>
      <c r="D25" s="7" t="s">
        <v>168</v>
      </c>
      <c r="E25" s="7" t="s">
        <v>169</v>
      </c>
      <c r="F25" s="7" t="s">
        <v>54</v>
      </c>
      <c r="G25" s="7" t="s">
        <v>170</v>
      </c>
    </row>
    <row r="26" spans="1:7" s="3" customFormat="1" x14ac:dyDescent="0.25">
      <c r="A26" s="7" t="s">
        <v>171</v>
      </c>
      <c r="B26" s="7" t="s">
        <v>156</v>
      </c>
      <c r="C26" s="7" t="s">
        <v>172</v>
      </c>
      <c r="D26" s="7" t="s">
        <v>173</v>
      </c>
      <c r="E26" s="7" t="s">
        <v>174</v>
      </c>
      <c r="F26" s="7" t="s">
        <v>175</v>
      </c>
      <c r="G26" s="7" t="s">
        <v>176</v>
      </c>
    </row>
  </sheetData>
  <autoFilter ref="A1:G26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8" customWidth="1"/>
    <col min="4" max="4" width="20" customWidth="1"/>
    <col min="5" max="5" width="26" customWidth="1"/>
    <col min="6" max="6" width="46" customWidth="1"/>
    <col min="7" max="7" width="48" customWidth="1"/>
    <col min="8" max="8" width="40" customWidth="1"/>
    <col min="9" max="9" width="26" customWidth="1"/>
    <col min="10" max="10" width="36" customWidth="1"/>
    <col min="11" max="11" width="44" customWidth="1"/>
  </cols>
  <sheetData>
    <row r="1" ht="30" customHeight="1" spans="1:11" s="6" customFormat="1" x14ac:dyDescent="0.25">
      <c r="A1" s="6" t="s">
        <v>42</v>
      </c>
      <c r="B1" s="6" t="s">
        <v>177</v>
      </c>
      <c r="C1" s="6" t="s">
        <v>178</v>
      </c>
      <c r="D1" s="6" t="s">
        <v>43</v>
      </c>
      <c r="E1" s="6" t="s">
        <v>179</v>
      </c>
      <c r="F1" s="6" t="s">
        <v>180</v>
      </c>
      <c r="G1" s="6" t="s">
        <v>181</v>
      </c>
      <c r="H1" s="6" t="s">
        <v>182</v>
      </c>
      <c r="I1" s="6" t="s">
        <v>183</v>
      </c>
      <c r="J1" s="6" t="s">
        <v>184</v>
      </c>
      <c r="K1" s="6" t="s">
        <v>185</v>
      </c>
    </row>
    <row r="2" spans="1:11" s="3" customFormat="1" x14ac:dyDescent="0.25">
      <c r="A2" s="7" t="s">
        <v>186</v>
      </c>
      <c r="B2" s="7" t="s">
        <v>187</v>
      </c>
      <c r="C2" s="8" t="s">
        <v>188</v>
      </c>
      <c r="D2" s="7" t="s">
        <v>189</v>
      </c>
      <c r="E2" s="7" t="s">
        <v>190</v>
      </c>
      <c r="F2" s="7" t="s">
        <v>191</v>
      </c>
      <c r="G2" s="7" t="s">
        <v>192</v>
      </c>
      <c r="H2" s="7" t="s">
        <v>193</v>
      </c>
      <c r="I2" s="7" t="s">
        <v>194</v>
      </c>
      <c r="J2" s="7" t="s">
        <v>195</v>
      </c>
      <c r="K2" s="3" t="s">
        <v>196</v>
      </c>
    </row>
    <row r="3" spans="1:11" s="3" customFormat="1" x14ac:dyDescent="0.25">
      <c r="A3" s="7" t="s">
        <v>197</v>
      </c>
      <c r="B3" s="7" t="s">
        <v>187</v>
      </c>
      <c r="C3" s="8" t="s">
        <v>188</v>
      </c>
      <c r="D3" s="7" t="s">
        <v>198</v>
      </c>
      <c r="E3" s="7" t="s">
        <v>199</v>
      </c>
      <c r="F3" s="7" t="s">
        <v>200</v>
      </c>
      <c r="G3" s="7" t="s">
        <v>201</v>
      </c>
      <c r="H3" s="7" t="s">
        <v>202</v>
      </c>
      <c r="I3" s="7" t="s">
        <v>203</v>
      </c>
      <c r="J3" s="7" t="s">
        <v>204</v>
      </c>
      <c r="K3" s="3" t="s">
        <v>205</v>
      </c>
    </row>
    <row r="4" spans="1:11" s="3" customFormat="1" x14ac:dyDescent="0.25">
      <c r="A4" s="7" t="s">
        <v>206</v>
      </c>
      <c r="B4" s="7" t="s">
        <v>187</v>
      </c>
      <c r="C4" s="8" t="s">
        <v>188</v>
      </c>
      <c r="D4" s="7" t="s">
        <v>207</v>
      </c>
      <c r="E4" s="7" t="s">
        <v>208</v>
      </c>
      <c r="F4" s="7" t="s">
        <v>209</v>
      </c>
      <c r="G4" s="7" t="s">
        <v>210</v>
      </c>
      <c r="H4" s="7" t="s">
        <v>211</v>
      </c>
      <c r="I4" s="7" t="s">
        <v>212</v>
      </c>
      <c r="J4" s="7" t="s">
        <v>213</v>
      </c>
      <c r="K4" s="3" t="s">
        <v>214</v>
      </c>
    </row>
    <row r="5" spans="1:11" s="3" customFormat="1" x14ac:dyDescent="0.25">
      <c r="A5" s="7" t="s">
        <v>215</v>
      </c>
      <c r="B5" s="7" t="s">
        <v>187</v>
      </c>
      <c r="C5" s="9" t="s">
        <v>216</v>
      </c>
      <c r="D5" s="7" t="s">
        <v>217</v>
      </c>
      <c r="E5" s="7" t="s">
        <v>218</v>
      </c>
      <c r="F5" s="7" t="s">
        <v>219</v>
      </c>
      <c r="G5" s="7" t="s">
        <v>220</v>
      </c>
      <c r="H5" s="7" t="s">
        <v>221</v>
      </c>
      <c r="I5" s="7" t="s">
        <v>222</v>
      </c>
      <c r="J5" s="7" t="s">
        <v>223</v>
      </c>
      <c r="K5" s="3" t="s">
        <v>224</v>
      </c>
    </row>
    <row r="6" spans="1:11" s="3" customFormat="1" x14ac:dyDescent="0.25">
      <c r="A6" s="7" t="s">
        <v>225</v>
      </c>
      <c r="B6" s="7" t="s">
        <v>187</v>
      </c>
      <c r="C6" s="9" t="s">
        <v>216</v>
      </c>
      <c r="D6" s="7" t="s">
        <v>226</v>
      </c>
      <c r="E6" s="7" t="s">
        <v>227</v>
      </c>
      <c r="F6" s="7" t="s">
        <v>228</v>
      </c>
      <c r="G6" s="7" t="s">
        <v>229</v>
      </c>
      <c r="H6" s="7" t="s">
        <v>230</v>
      </c>
      <c r="I6" s="7" t="s">
        <v>231</v>
      </c>
      <c r="J6" s="7" t="s">
        <v>232</v>
      </c>
      <c r="K6" s="3" t="s">
        <v>233</v>
      </c>
    </row>
    <row r="7" spans="1:11" s="3" customFormat="1" x14ac:dyDescent="0.25">
      <c r="A7" s="7" t="s">
        <v>234</v>
      </c>
      <c r="B7" s="7" t="s">
        <v>235</v>
      </c>
      <c r="C7" s="9" t="s">
        <v>216</v>
      </c>
      <c r="D7" s="7" t="s">
        <v>236</v>
      </c>
      <c r="E7" s="7" t="s">
        <v>237</v>
      </c>
      <c r="F7" s="7" t="s">
        <v>238</v>
      </c>
      <c r="G7" s="7" t="s">
        <v>239</v>
      </c>
      <c r="H7" s="7" t="s">
        <v>240</v>
      </c>
      <c r="I7" s="7" t="s">
        <v>241</v>
      </c>
      <c r="J7" s="7" t="s">
        <v>242</v>
      </c>
      <c r="K7" s="3" t="s">
        <v>243</v>
      </c>
    </row>
    <row r="8" spans="1:11" s="3" customFormat="1" x14ac:dyDescent="0.25">
      <c r="A8" s="7" t="s">
        <v>244</v>
      </c>
      <c r="B8" s="7" t="s">
        <v>235</v>
      </c>
      <c r="C8" s="9" t="s">
        <v>216</v>
      </c>
      <c r="D8" s="7" t="s">
        <v>245</v>
      </c>
      <c r="E8" s="7" t="s">
        <v>246</v>
      </c>
      <c r="F8" s="7" t="s">
        <v>247</v>
      </c>
      <c r="G8" s="7" t="s">
        <v>248</v>
      </c>
      <c r="H8" s="7" t="s">
        <v>249</v>
      </c>
      <c r="I8" s="7" t="s">
        <v>250</v>
      </c>
      <c r="J8" s="7" t="s">
        <v>251</v>
      </c>
      <c r="K8" s="3" t="s">
        <v>252</v>
      </c>
    </row>
    <row r="9" spans="1:11" s="3" customFormat="1" x14ac:dyDescent="0.25">
      <c r="A9" s="7" t="s">
        <v>253</v>
      </c>
      <c r="B9" s="7" t="s">
        <v>187</v>
      </c>
      <c r="C9" s="10" t="s">
        <v>254</v>
      </c>
      <c r="D9" s="7" t="s">
        <v>145</v>
      </c>
      <c r="E9" s="7" t="s">
        <v>255</v>
      </c>
      <c r="F9" s="7" t="s">
        <v>256</v>
      </c>
      <c r="G9" s="7" t="s">
        <v>257</v>
      </c>
      <c r="H9" s="7" t="s">
        <v>258</v>
      </c>
      <c r="I9" s="7" t="s">
        <v>241</v>
      </c>
      <c r="J9" s="7" t="s">
        <v>259</v>
      </c>
      <c r="K9" s="3" t="s">
        <v>260</v>
      </c>
    </row>
    <row r="10" spans="1:11" s="3" customFormat="1" x14ac:dyDescent="0.25">
      <c r="A10" s="7" t="s">
        <v>261</v>
      </c>
      <c r="B10" s="7" t="s">
        <v>235</v>
      </c>
      <c r="C10" s="10" t="s">
        <v>254</v>
      </c>
      <c r="D10" s="7" t="s">
        <v>262</v>
      </c>
      <c r="E10" s="7" t="s">
        <v>263</v>
      </c>
      <c r="F10" s="7" t="s">
        <v>264</v>
      </c>
      <c r="G10" s="7" t="s">
        <v>265</v>
      </c>
      <c r="H10" s="7" t="s">
        <v>266</v>
      </c>
      <c r="I10" s="7" t="s">
        <v>241</v>
      </c>
      <c r="J10" s="7" t="s">
        <v>267</v>
      </c>
      <c r="K10" s="3" t="s">
        <v>268</v>
      </c>
    </row>
    <row r="11" spans="1:11" s="3" customFormat="1" x14ac:dyDescent="0.25">
      <c r="A11" s="7" t="s">
        <v>269</v>
      </c>
      <c r="B11" s="7" t="s">
        <v>235</v>
      </c>
      <c r="C11" s="10" t="s">
        <v>254</v>
      </c>
      <c r="D11" s="7" t="s">
        <v>226</v>
      </c>
      <c r="E11" s="7" t="s">
        <v>270</v>
      </c>
      <c r="F11" s="7" t="s">
        <v>271</v>
      </c>
      <c r="G11" s="7" t="s">
        <v>272</v>
      </c>
      <c r="H11" s="7" t="s">
        <v>74</v>
      </c>
      <c r="I11" s="7" t="s">
        <v>241</v>
      </c>
      <c r="J11" s="7" t="s">
        <v>273</v>
      </c>
      <c r="K11" s="3" t="s">
        <v>274</v>
      </c>
    </row>
    <row r="12" spans="1:11" s="3" customFormat="1" x14ac:dyDescent="0.25">
      <c r="A12" s="7" t="s">
        <v>275</v>
      </c>
      <c r="B12" s="7" t="s">
        <v>235</v>
      </c>
      <c r="C12" s="10" t="s">
        <v>254</v>
      </c>
      <c r="D12" s="7" t="s">
        <v>57</v>
      </c>
      <c r="E12" s="7" t="s">
        <v>276</v>
      </c>
      <c r="F12" s="7" t="s">
        <v>277</v>
      </c>
      <c r="G12" s="7" t="s">
        <v>278</v>
      </c>
      <c r="H12" s="7" t="s">
        <v>74</v>
      </c>
      <c r="I12" s="7" t="s">
        <v>279</v>
      </c>
      <c r="J12" s="7" t="s">
        <v>280</v>
      </c>
      <c r="K12" s="3" t="s">
        <v>281</v>
      </c>
    </row>
    <row r="13" spans="1:11" s="3" customFormat="1" x14ac:dyDescent="0.25">
      <c r="A13" s="7" t="s">
        <v>282</v>
      </c>
      <c r="B13" s="7" t="s">
        <v>235</v>
      </c>
      <c r="C13" s="10" t="s">
        <v>254</v>
      </c>
      <c r="D13" s="7" t="s">
        <v>283</v>
      </c>
      <c r="E13" s="7" t="s">
        <v>284</v>
      </c>
      <c r="F13" s="7" t="s">
        <v>285</v>
      </c>
      <c r="G13" s="7" t="s">
        <v>286</v>
      </c>
      <c r="H13" s="7" t="s">
        <v>287</v>
      </c>
      <c r="I13" s="7" t="s">
        <v>241</v>
      </c>
      <c r="J13" s="7" t="s">
        <v>288</v>
      </c>
      <c r="K13" s="3" t="s">
        <v>289</v>
      </c>
    </row>
    <row r="14" spans="1:11" s="3" customFormat="1" x14ac:dyDescent="0.25">
      <c r="A14" s="7" t="s">
        <v>290</v>
      </c>
      <c r="B14" s="7" t="s">
        <v>235</v>
      </c>
      <c r="C14" s="10" t="s">
        <v>254</v>
      </c>
      <c r="D14" s="7" t="s">
        <v>291</v>
      </c>
      <c r="E14" s="7" t="s">
        <v>292</v>
      </c>
      <c r="F14" s="7" t="s">
        <v>293</v>
      </c>
      <c r="G14" s="7" t="s">
        <v>294</v>
      </c>
      <c r="H14" s="7" t="s">
        <v>295</v>
      </c>
      <c r="I14" s="7" t="s">
        <v>241</v>
      </c>
      <c r="J14" s="7" t="s">
        <v>296</v>
      </c>
      <c r="K14" s="3" t="s">
        <v>297</v>
      </c>
    </row>
    <row r="15" spans="1:11" s="3" customFormat="1" x14ac:dyDescent="0.25">
      <c r="A15" s="7" t="s">
        <v>298</v>
      </c>
      <c r="B15" s="7" t="s">
        <v>235</v>
      </c>
      <c r="C15" s="10" t="s">
        <v>254</v>
      </c>
      <c r="D15" s="7" t="s">
        <v>226</v>
      </c>
      <c r="E15" s="7" t="s">
        <v>299</v>
      </c>
      <c r="F15" s="7" t="s">
        <v>300</v>
      </c>
      <c r="G15" s="7" t="s">
        <v>301</v>
      </c>
      <c r="H15" s="7" t="s">
        <v>302</v>
      </c>
      <c r="I15" s="7" t="s">
        <v>241</v>
      </c>
      <c r="J15" s="7" t="s">
        <v>303</v>
      </c>
      <c r="K15" s="3" t="s">
        <v>304</v>
      </c>
    </row>
    <row r="16" spans="1:11" s="3" customFormat="1" x14ac:dyDescent="0.25">
      <c r="A16" s="7" t="s">
        <v>305</v>
      </c>
      <c r="B16" s="7" t="s">
        <v>306</v>
      </c>
      <c r="C16" s="9" t="s">
        <v>216</v>
      </c>
      <c r="D16" s="7" t="s">
        <v>307</v>
      </c>
      <c r="E16" s="7" t="s">
        <v>308</v>
      </c>
      <c r="F16" s="7" t="s">
        <v>309</v>
      </c>
      <c r="G16" s="7" t="s">
        <v>310</v>
      </c>
      <c r="H16" s="7" t="s">
        <v>311</v>
      </c>
      <c r="I16" s="7" t="s">
        <v>312</v>
      </c>
      <c r="J16" s="7" t="s">
        <v>313</v>
      </c>
      <c r="K16" s="3" t="s">
        <v>314</v>
      </c>
    </row>
    <row r="17" spans="1:11" s="3" customFormat="1" x14ac:dyDescent="0.25">
      <c r="A17" s="7" t="s">
        <v>315</v>
      </c>
      <c r="B17" s="7" t="s">
        <v>187</v>
      </c>
      <c r="C17" s="9" t="s">
        <v>216</v>
      </c>
      <c r="D17" s="7" t="s">
        <v>316</v>
      </c>
      <c r="E17" s="7" t="s">
        <v>317</v>
      </c>
      <c r="F17" s="7" t="s">
        <v>318</v>
      </c>
      <c r="G17" s="7" t="s">
        <v>319</v>
      </c>
      <c r="H17" s="7" t="s">
        <v>320</v>
      </c>
      <c r="I17" s="7" t="s">
        <v>321</v>
      </c>
      <c r="J17" s="7" t="s">
        <v>322</v>
      </c>
      <c r="K17" s="7"/>
    </row>
    <row r="18" spans="1:11" s="3" customFormat="1" x14ac:dyDescent="0.25">
      <c r="A18" s="7" t="s">
        <v>323</v>
      </c>
      <c r="B18" s="7" t="s">
        <v>187</v>
      </c>
      <c r="C18" s="10" t="s">
        <v>254</v>
      </c>
      <c r="D18" s="7" t="s">
        <v>324</v>
      </c>
      <c r="E18" s="7" t="s">
        <v>325</v>
      </c>
      <c r="F18" s="7" t="s">
        <v>326</v>
      </c>
      <c r="G18" s="7" t="s">
        <v>327</v>
      </c>
      <c r="H18" s="7" t="s">
        <v>328</v>
      </c>
      <c r="I18" s="7" t="s">
        <v>241</v>
      </c>
      <c r="J18" s="7" t="s">
        <v>329</v>
      </c>
      <c r="K18" s="7"/>
    </row>
    <row r="19" spans="1:11" s="3" customFormat="1" x14ac:dyDescent="0.25">
      <c r="A19" s="7" t="s">
        <v>330</v>
      </c>
      <c r="B19" s="7" t="s">
        <v>235</v>
      </c>
      <c r="C19" s="10" t="s">
        <v>254</v>
      </c>
      <c r="D19" s="7" t="s">
        <v>331</v>
      </c>
      <c r="E19" s="7" t="s">
        <v>332</v>
      </c>
      <c r="F19" s="7" t="s">
        <v>333</v>
      </c>
      <c r="G19" s="7" t="s">
        <v>334</v>
      </c>
      <c r="H19" s="7" t="s">
        <v>335</v>
      </c>
      <c r="I19" s="7" t="s">
        <v>241</v>
      </c>
      <c r="J19" s="7" t="s">
        <v>336</v>
      </c>
      <c r="K19" s="7"/>
    </row>
    <row r="20" spans="1:11" s="3" customFormat="1" x14ac:dyDescent="0.25">
      <c r="A20" s="7" t="s">
        <v>337</v>
      </c>
      <c r="B20" s="7" t="s">
        <v>235</v>
      </c>
      <c r="C20" s="8" t="s">
        <v>188</v>
      </c>
      <c r="D20" s="7" t="s">
        <v>338</v>
      </c>
      <c r="E20" s="7" t="s">
        <v>339</v>
      </c>
      <c r="F20" s="7" t="s">
        <v>340</v>
      </c>
      <c r="G20" s="7" t="s">
        <v>341</v>
      </c>
      <c r="H20" s="7" t="s">
        <v>342</v>
      </c>
      <c r="I20" s="7" t="s">
        <v>343</v>
      </c>
      <c r="J20" s="7" t="s">
        <v>344</v>
      </c>
      <c r="K20" s="7"/>
    </row>
  </sheetData>
  <autoFilter ref="A1:K20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22" customWidth="1"/>
    <col min="4" max="4" width="36" customWidth="1"/>
    <col min="5" max="5" width="10" customWidth="1"/>
    <col min="6" max="6" width="36" customWidth="1"/>
  </cols>
  <sheetData>
    <row r="1" ht="30" customHeight="1" spans="1:6" s="6" customFormat="1" x14ac:dyDescent="0.25">
      <c r="A1" s="6" t="s">
        <v>43</v>
      </c>
      <c r="B1" s="6" t="s">
        <v>44</v>
      </c>
      <c r="C1" s="6" t="s">
        <v>345</v>
      </c>
      <c r="D1" s="6" t="s">
        <v>346</v>
      </c>
      <c r="E1" s="6" t="s">
        <v>347</v>
      </c>
      <c r="F1" s="6" t="s">
        <v>348</v>
      </c>
    </row>
    <row r="2" spans="1:6" s="3" customFormat="1" x14ac:dyDescent="0.25">
      <c r="A2" s="7" t="s">
        <v>57</v>
      </c>
      <c r="B2" s="7" t="s">
        <v>349</v>
      </c>
      <c r="C2" s="7" t="s">
        <v>350</v>
      </c>
      <c r="D2" s="7" t="s">
        <v>351</v>
      </c>
      <c r="E2" s="7" t="s">
        <v>352</v>
      </c>
      <c r="F2" s="7" t="s">
        <v>353</v>
      </c>
    </row>
    <row r="3" spans="1:6" s="3" customFormat="1" x14ac:dyDescent="0.25">
      <c r="A3" s="7" t="s">
        <v>57</v>
      </c>
      <c r="B3" s="7" t="s">
        <v>354</v>
      </c>
      <c r="C3" s="7" t="s">
        <v>355</v>
      </c>
      <c r="D3" s="7" t="s">
        <v>356</v>
      </c>
      <c r="E3" s="7" t="s">
        <v>357</v>
      </c>
      <c r="F3" s="7" t="s">
        <v>358</v>
      </c>
    </row>
    <row r="4" spans="1:6" s="3" customFormat="1" x14ac:dyDescent="0.25">
      <c r="A4" s="7" t="s">
        <v>57</v>
      </c>
      <c r="B4" s="7" t="s">
        <v>63</v>
      </c>
      <c r="C4" s="7" t="s">
        <v>359</v>
      </c>
      <c r="D4" s="7" t="s">
        <v>359</v>
      </c>
      <c r="E4" s="7" t="s">
        <v>357</v>
      </c>
      <c r="F4" s="7" t="s">
        <v>358</v>
      </c>
    </row>
    <row r="5" spans="1:6" s="3" customFormat="1" x14ac:dyDescent="0.25">
      <c r="A5" s="7" t="s">
        <v>115</v>
      </c>
      <c r="B5" s="7" t="s">
        <v>360</v>
      </c>
      <c r="C5" s="7" t="s">
        <v>361</v>
      </c>
      <c r="D5" s="7" t="s">
        <v>361</v>
      </c>
      <c r="E5" s="7" t="s">
        <v>357</v>
      </c>
      <c r="F5" s="7" t="s">
        <v>362</v>
      </c>
    </row>
    <row r="6" spans="1:6" s="3" customFormat="1" x14ac:dyDescent="0.25">
      <c r="A6" s="7" t="s">
        <v>115</v>
      </c>
      <c r="B6" s="7" t="s">
        <v>363</v>
      </c>
      <c r="C6" s="7" t="s">
        <v>364</v>
      </c>
      <c r="D6" s="7" t="s">
        <v>365</v>
      </c>
      <c r="E6" s="7" t="s">
        <v>357</v>
      </c>
      <c r="F6" s="7" t="s">
        <v>366</v>
      </c>
    </row>
    <row r="7" spans="1:6" s="3" customFormat="1" x14ac:dyDescent="0.25">
      <c r="A7" s="7" t="s">
        <v>115</v>
      </c>
      <c r="B7" s="7" t="s">
        <v>367</v>
      </c>
      <c r="C7" s="7" t="s">
        <v>368</v>
      </c>
      <c r="D7" s="7" t="s">
        <v>368</v>
      </c>
      <c r="E7" s="7" t="s">
        <v>357</v>
      </c>
      <c r="F7" s="7" t="s">
        <v>369</v>
      </c>
    </row>
    <row r="8" spans="1:6" s="3" customFormat="1" x14ac:dyDescent="0.25">
      <c r="A8" s="7" t="s">
        <v>115</v>
      </c>
      <c r="B8" s="7" t="s">
        <v>370</v>
      </c>
      <c r="C8" s="7" t="s">
        <v>371</v>
      </c>
      <c r="D8" s="7" t="s">
        <v>372</v>
      </c>
      <c r="E8" s="7" t="s">
        <v>357</v>
      </c>
      <c r="F8" s="7" t="s">
        <v>366</v>
      </c>
    </row>
    <row r="9" spans="1:6" s="3" customFormat="1" x14ac:dyDescent="0.25">
      <c r="A9" s="7" t="s">
        <v>115</v>
      </c>
      <c r="B9" s="7" t="s">
        <v>373</v>
      </c>
      <c r="C9" s="7" t="s">
        <v>374</v>
      </c>
      <c r="D9" s="7" t="s">
        <v>375</v>
      </c>
      <c r="E9" s="7" t="s">
        <v>352</v>
      </c>
      <c r="F9" s="7" t="s">
        <v>376</v>
      </c>
    </row>
    <row r="10" spans="1:6" s="3" customFormat="1" x14ac:dyDescent="0.25">
      <c r="A10" s="7" t="s">
        <v>115</v>
      </c>
      <c r="B10" s="7" t="s">
        <v>377</v>
      </c>
      <c r="C10" s="7" t="s">
        <v>378</v>
      </c>
      <c r="D10" s="7" t="s">
        <v>379</v>
      </c>
      <c r="E10" s="7" t="s">
        <v>357</v>
      </c>
      <c r="F10" s="7" t="s">
        <v>380</v>
      </c>
    </row>
    <row r="11" spans="1:6" s="3" customFormat="1" x14ac:dyDescent="0.25">
      <c r="A11" s="7" t="s">
        <v>135</v>
      </c>
      <c r="B11" s="7" t="s">
        <v>381</v>
      </c>
      <c r="C11" s="7" t="s">
        <v>382</v>
      </c>
      <c r="D11" s="7" t="s">
        <v>383</v>
      </c>
      <c r="E11" s="7" t="s">
        <v>352</v>
      </c>
      <c r="F11" s="7" t="s">
        <v>384</v>
      </c>
    </row>
    <row r="12" spans="1:6" s="3" customFormat="1" x14ac:dyDescent="0.25">
      <c r="A12" s="7" t="s">
        <v>135</v>
      </c>
      <c r="B12" s="7" t="s">
        <v>385</v>
      </c>
      <c r="C12" s="7" t="s">
        <v>386</v>
      </c>
      <c r="D12" s="7" t="s">
        <v>387</v>
      </c>
      <c r="E12" s="7" t="s">
        <v>352</v>
      </c>
      <c r="F12" s="7" t="s">
        <v>388</v>
      </c>
    </row>
    <row r="13" spans="1:6" s="3" customFormat="1" x14ac:dyDescent="0.25">
      <c r="A13" s="7" t="s">
        <v>135</v>
      </c>
      <c r="B13" s="7" t="s">
        <v>389</v>
      </c>
      <c r="C13" s="7" t="s">
        <v>386</v>
      </c>
      <c r="D13" s="7" t="s">
        <v>387</v>
      </c>
      <c r="E13" s="7" t="s">
        <v>352</v>
      </c>
      <c r="F13" s="7" t="s">
        <v>390</v>
      </c>
    </row>
    <row r="14" spans="1:6" s="3" customFormat="1" x14ac:dyDescent="0.25">
      <c r="A14" s="7" t="s">
        <v>110</v>
      </c>
      <c r="B14" s="7" t="s">
        <v>391</v>
      </c>
      <c r="C14" s="7" t="s">
        <v>392</v>
      </c>
      <c r="D14" s="7" t="s">
        <v>393</v>
      </c>
      <c r="E14" s="7" t="s">
        <v>357</v>
      </c>
      <c r="F14" s="7" t="s">
        <v>358</v>
      </c>
    </row>
    <row r="15" spans="1:6" s="3" customFormat="1" x14ac:dyDescent="0.25">
      <c r="A15" s="7" t="s">
        <v>394</v>
      </c>
      <c r="B15" s="7" t="s">
        <v>395</v>
      </c>
      <c r="C15" s="7" t="s">
        <v>387</v>
      </c>
      <c r="D15" s="7" t="s">
        <v>387</v>
      </c>
      <c r="E15" s="7" t="s">
        <v>357</v>
      </c>
      <c r="F15" s="7" t="s">
        <v>396</v>
      </c>
    </row>
  </sheetData>
  <autoFilter ref="A1:F15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30" customWidth="1"/>
    <col min="3" max="3" width="60" customWidth="1"/>
    <col min="4" max="4" width="42" customWidth="1"/>
  </cols>
  <sheetData>
    <row r="1" ht="30" customHeight="1" spans="1:4" s="6" customFormat="1" x14ac:dyDescent="0.25">
      <c r="A1" s="6" t="s">
        <v>42</v>
      </c>
      <c r="B1" s="6" t="s">
        <v>44</v>
      </c>
      <c r="C1" s="6" t="s">
        <v>397</v>
      </c>
      <c r="D1" s="6" t="s">
        <v>398</v>
      </c>
    </row>
    <row r="2" spans="1:4" s="3" customFormat="1" x14ac:dyDescent="0.25">
      <c r="A2" s="7" t="s">
        <v>399</v>
      </c>
      <c r="B2" s="7" t="s">
        <v>400</v>
      </c>
      <c r="C2" s="7" t="s">
        <v>401</v>
      </c>
      <c r="D2" s="7" t="s">
        <v>402</v>
      </c>
    </row>
    <row r="3" spans="1:4" s="3" customFormat="1" x14ac:dyDescent="0.25">
      <c r="A3" s="7" t="s">
        <v>403</v>
      </c>
      <c r="B3" s="7" t="s">
        <v>404</v>
      </c>
      <c r="C3" s="7" t="s">
        <v>405</v>
      </c>
      <c r="D3" s="7" t="s">
        <v>406</v>
      </c>
    </row>
    <row r="4" spans="1:4" s="3" customFormat="1" x14ac:dyDescent="0.25">
      <c r="A4" s="7" t="s">
        <v>407</v>
      </c>
      <c r="B4" s="7" t="s">
        <v>408</v>
      </c>
      <c r="C4" s="7" t="s">
        <v>409</v>
      </c>
      <c r="D4" s="7" t="s">
        <v>406</v>
      </c>
    </row>
    <row r="5" spans="1:4" s="3" customFormat="1" x14ac:dyDescent="0.25">
      <c r="A5" s="7" t="s">
        <v>410</v>
      </c>
      <c r="B5" s="7" t="s">
        <v>411</v>
      </c>
      <c r="C5" s="7" t="s">
        <v>412</v>
      </c>
      <c r="D5" s="7" t="s">
        <v>406</v>
      </c>
    </row>
    <row r="6" spans="1:4" s="3" customFormat="1" x14ac:dyDescent="0.25">
      <c r="A6" s="7" t="s">
        <v>413</v>
      </c>
      <c r="B6" s="7" t="s">
        <v>414</v>
      </c>
      <c r="C6" s="7" t="s">
        <v>415</v>
      </c>
      <c r="D6" s="7" t="s">
        <v>406</v>
      </c>
    </row>
    <row r="7" spans="1:4" s="3" customFormat="1" x14ac:dyDescent="0.25">
      <c r="A7" s="7" t="s">
        <v>416</v>
      </c>
      <c r="B7" s="7" t="s">
        <v>417</v>
      </c>
      <c r="C7" s="7" t="s">
        <v>418</v>
      </c>
      <c r="D7" s="7" t="s">
        <v>419</v>
      </c>
    </row>
    <row r="8" spans="1:4" s="3" customFormat="1" x14ac:dyDescent="0.25">
      <c r="A8" s="7" t="s">
        <v>420</v>
      </c>
      <c r="B8" s="7" t="s">
        <v>421</v>
      </c>
      <c r="C8" s="7" t="s">
        <v>422</v>
      </c>
      <c r="D8" s="7" t="s">
        <v>423</v>
      </c>
    </row>
    <row r="9" spans="1:4" s="3" customFormat="1" x14ac:dyDescent="0.25">
      <c r="A9" s="7" t="s">
        <v>424</v>
      </c>
      <c r="B9" s="7" t="s">
        <v>425</v>
      </c>
      <c r="C9" s="7" t="s">
        <v>426</v>
      </c>
      <c r="D9" s="7" t="s">
        <v>427</v>
      </c>
    </row>
    <row r="10" spans="1:4" s="3" customFormat="1" x14ac:dyDescent="0.25">
      <c r="A10" s="7" t="s">
        <v>428</v>
      </c>
      <c r="B10" s="7" t="s">
        <v>429</v>
      </c>
      <c r="C10" s="7" t="s">
        <v>430</v>
      </c>
      <c r="D10" s="7" t="s">
        <v>431</v>
      </c>
    </row>
  </sheetData>
  <autoFilter ref="A1:D10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1_概要</vt:lpstr>
      <vt:lpstr>2_検証項目</vt:lpstr>
      <vt:lpstr>3_不具合・課題</vt:lpstr>
      <vt:lpstr>4_数値の突き合わせ</vt:lpstr>
      <vt:lpstr>5_未検証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farm-app QA</dc:creator>
  <dc:title/>
  <dc:subject/>
  <dc:description/>
  <cp:keywords/>
  <cp:category/>
  <cp:lastModifiedBy>Unknown</cp:lastModifiedBy>
  <dcterms:created xsi:type="dcterms:W3CDTF">2026-09-16T03:00:00Z</dcterms:created>
  <dcterms:modified xsi:type="dcterms:W3CDTF">2026-09-16T03:50:25Z</dcterms:modified>
</cp:coreProperties>
</file>